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men" sheetId="1" state="visible" r:id="rId1"/>
    <sheet xmlns:r="http://schemas.openxmlformats.org/officeDocument/2006/relationships" name="Respuestas" sheetId="2" state="visible" r:id="rId2"/>
    <sheet xmlns:r="http://schemas.openxmlformats.org/officeDocument/2006/relationships" name="Clave" sheetId="3" state="visible" r:id="rId3"/>
    <sheet xmlns:r="http://schemas.openxmlformats.org/officeDocument/2006/relationships" name="Asignaciones" sheetId="4" state="visible" r:id="rId4"/>
    <sheet xmlns:r="http://schemas.openxmlformats.org/officeDocument/2006/relationships" name="Leeme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%"/>
    <numFmt numFmtId="165" formatCode="0.000"/>
  </numFmts>
  <fonts count="7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  <b val="1"/>
      <color rgb="000047E8"/>
      <sz val="16"/>
    </font>
    <font>
      <name val="Arial"/>
      <color rgb="00001447"/>
      <sz val="10"/>
    </font>
    <font>
      <name val="Arial"/>
      <b val="1"/>
    </font>
    <font>
      <name val="Arial"/>
      <i val="1"/>
      <color rgb="0043506B"/>
      <sz val="9"/>
    </font>
    <font>
      <name val="Arial"/>
    </font>
  </fonts>
  <fills count="5">
    <fill>
      <patternFill/>
    </fill>
    <fill>
      <patternFill patternType="gray125"/>
    </fill>
    <fill>
      <patternFill patternType="solid">
        <fgColor rgb="000047E8"/>
      </patternFill>
    </fill>
    <fill>
      <patternFill patternType="solid">
        <fgColor rgb="00FFF3E0"/>
      </patternFill>
    </fill>
    <fill>
      <patternFill patternType="solid">
        <fgColor rgb="000014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3" borderId="0" pivotButton="0" quotePrefix="0" xfId="0"/>
    <xf numFmtId="0" fontId="5" fillId="0" borderId="0" pivotButton="0" quotePrefix="0" xfId="0"/>
    <xf numFmtId="0" fontId="1" fillId="2" borderId="0" applyAlignment="1" pivotButton="0" quotePrefix="0" xfId="0">
      <alignment vertical="center" wrapText="1"/>
    </xf>
    <xf numFmtId="0" fontId="6" fillId="0" borderId="0" pivotButton="0" quotePrefix="0" xfId="0"/>
    <xf numFmtId="2" fontId="6" fillId="0" borderId="0" pivotButton="0" quotePrefix="0" xfId="0"/>
    <xf numFmtId="164" fontId="6" fillId="0" borderId="0" pivotButton="0" quotePrefix="0" xfId="0"/>
    <xf numFmtId="165" fontId="6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4" borderId="0" applyAlignment="1" pivotButton="0" quotePrefix="0" xfId="0">
      <alignment vertical="center" wrapText="1"/>
    </xf>
    <xf numFmtId="0" fontId="4" fillId="0" borderId="0" pivotButton="0" quotePrefix="0" xfId="0"/>
    <xf numFmtId="0" fontId="0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8"/>
  <sheetViews>
    <sheetView workbookViewId="0">
      <selection activeCell="A1" sqref="A1"/>
    </sheetView>
  </sheetViews>
  <sheetFormatPr baseColWidth="8" defaultRowHeight="15"/>
  <cols>
    <col width="46" customWidth="1" min="1" max="1"/>
    <col width="18" customWidth="1" min="2" max="2"/>
    <col width="18" customWidth="1" min="3" max="3"/>
    <col width="18" customWidth="1" min="4" max="4"/>
    <col width="18" customWidth="1" min="5" max="5"/>
  </cols>
  <sheetData>
    <row r="1">
      <c r="A1" s="1" t="inlineStr">
        <is>
          <t>Réplica de Loftus y Burns (1982) · Resumen en vivo</t>
        </is>
      </c>
    </row>
    <row r="2">
      <c r="A2" s="2" t="inlineStr">
        <is>
          <t>ESIC University · Métodos, Diseño y Técnicas de Investigación en Psicología · Tema 4</t>
        </is>
      </c>
    </row>
    <row r="4">
      <c r="A4" t="inlineStr">
        <is>
          <t>Cohorte a analizar (vacío = todas):</t>
        </is>
      </c>
      <c r="B4" s="3" t="inlineStr"/>
    </row>
    <row r="5">
      <c r="A5" s="4" t="inlineStr">
        <is>
          <t>Excluidos automáticamente: conocían el estudio, no vieron bien las imágenes o cambiaron de pestaña.</t>
        </is>
      </c>
    </row>
    <row r="7">
      <c r="A7" s="5" t="inlineStr">
        <is>
          <t>Aciertos de relleno (VD, 0-10)</t>
        </is>
      </c>
      <c r="B7" s="5" t="inlineStr">
        <is>
          <t>Experimental</t>
        </is>
      </c>
      <c r="C7" s="5" t="inlineStr">
        <is>
          <t>Control</t>
        </is>
      </c>
      <c r="D7" s="5" t="inlineStr">
        <is>
          <t>Diferencia</t>
        </is>
      </c>
    </row>
    <row r="8">
      <c r="A8" s="6" t="inlineStr">
        <is>
          <t>n incluidos</t>
        </is>
      </c>
      <c r="B8" s="6">
        <f>SUMPRODUCT((Respuestas!$C$2:$C$3000="experimental")*(Respuestas!$BG$2:$BG$3000&lt;&gt;"Sí")*(Respuestas!$BF$2:$BF$3000&lt;&gt;"No")*(Respuestas!$J$2:$J$3000=0)*(((Respuestas!$B$2:$B$3000=$B$4)+($B$4=""))&gt;0))</f>
        <v/>
      </c>
      <c r="C8" s="6">
        <f>SUMPRODUCT((Respuestas!$C$2:$C$3000="control")*(Respuestas!$BG$2:$BG$3000&lt;&gt;"Sí")*(Respuestas!$BF$2:$BF$3000&lt;&gt;"No")*(Respuestas!$J$2:$J$3000=0)*(((Respuestas!$B$2:$B$3000=$B$4)+($B$4=""))&gt;0))</f>
        <v/>
      </c>
      <c r="D8" s="6" t="inlineStr"/>
    </row>
    <row r="9">
      <c r="A9" s="6" t="inlineStr">
        <is>
          <t>Media</t>
        </is>
      </c>
      <c r="B9" s="7">
        <f>IFERROR(SUMPRODUCT((Respuestas!$C$2:$C$3000="experimental")*(Respuestas!$BG$2:$BG$3000&lt;&gt;"Sí")*(Respuestas!$BF$2:$BF$3000&lt;&gt;"No")*(Respuestas!$J$2:$J$3000=0)*(((Respuestas!$B$2:$B$3000=$B$4)+($B$4=""))&gt;0)*Respuestas!$BA$2:$BA$3000)/B8,"")</f>
        <v/>
      </c>
      <c r="C9" s="7">
        <f>IFERROR(SUMPRODUCT((Respuestas!$C$2:$C$3000="control")*(Respuestas!$BG$2:$BG$3000&lt;&gt;"Sí")*(Respuestas!$BF$2:$BF$3000&lt;&gt;"No")*(Respuestas!$J$2:$J$3000=0)*(((Respuestas!$B$2:$B$3000=$B$4)+($B$4=""))&gt;0)*Respuestas!$BA$2:$BA$3000)/C8,"")</f>
        <v/>
      </c>
      <c r="D9" s="7">
        <f>IFERROR(B9-C9,"")</f>
        <v/>
      </c>
    </row>
    <row r="10">
      <c r="A10" s="6" t="inlineStr">
        <is>
          <t>Desviación típica</t>
        </is>
      </c>
      <c r="B10" s="7">
        <f>IFERROR(SQRT(SUMPRODUCT((Respuestas!$C$2:$C$3000="experimental")*(Respuestas!$BG$2:$BG$3000&lt;&gt;"Sí")*(Respuestas!$BF$2:$BF$3000&lt;&gt;"No")*(Respuestas!$J$2:$J$3000=0)*(((Respuestas!$B$2:$B$3000=$B$4)+($B$4=""))&gt;0)*(Respuestas!$BA$2:$BA$3000-B9)^2)/(B8-1)),"")</f>
        <v/>
      </c>
      <c r="C10" s="7">
        <f>IFERROR(SQRT(SUMPRODUCT((Respuestas!$C$2:$C$3000="control")*(Respuestas!$BG$2:$BG$3000&lt;&gt;"Sí")*(Respuestas!$BF$2:$BF$3000&lt;&gt;"No")*(Respuestas!$J$2:$J$3000=0)*(((Respuestas!$B$2:$B$3000=$B$4)+($B$4=""))&gt;0)*(Respuestas!$BA$2:$BA$3000-C9)^2)/(C8-1)),"")</f>
        <v/>
      </c>
      <c r="D10" s="6" t="inlineStr"/>
    </row>
    <row r="11">
      <c r="A11" s="6" t="inlineStr">
        <is>
          <t>% de aciertos</t>
        </is>
      </c>
      <c r="B11" s="8">
        <f>IFERROR(B9/10,"")</f>
        <v/>
      </c>
      <c r="C11" s="8">
        <f>IFERROR(C9/10,"")</f>
        <v/>
      </c>
      <c r="D11" s="6" t="inlineStr"/>
    </row>
    <row r="12">
      <c r="A12" s="6" t="n"/>
      <c r="B12" s="6" t="n"/>
      <c r="C12" s="6" t="n"/>
      <c r="D12" s="6" t="n"/>
    </row>
    <row r="13">
      <c r="A13" s="5" t="inlineStr">
        <is>
          <t>t de Welch (medias independientes)</t>
        </is>
      </c>
      <c r="B13" s="5" t="inlineStr">
        <is>
          <t>Valor</t>
        </is>
      </c>
      <c r="C13" s="5" t="inlineStr"/>
      <c r="D13" s="5" t="inlineStr"/>
    </row>
    <row r="14">
      <c r="A14" s="6" t="inlineStr">
        <is>
          <t>t</t>
        </is>
      </c>
      <c r="B14" s="9">
        <f>IFERROR(D9/SQRT(B10^2/B8+C10^2/C8),"")</f>
        <v/>
      </c>
      <c r="C14" s="6" t="n"/>
      <c r="D14" s="6" t="n"/>
    </row>
    <row r="15">
      <c r="A15" s="6" t="inlineStr">
        <is>
          <t>grados de libertad (Welch)</t>
        </is>
      </c>
      <c r="B15" s="9">
        <f>IFERROR((B10^2/B8+C10^2/C8)^2/((B10^2/B8)^2/(B8-1)+(C10^2/C8)^2/(C8-1)),"")</f>
        <v/>
      </c>
      <c r="C15" s="6" t="n"/>
      <c r="D15" s="6" t="n"/>
    </row>
    <row r="16">
      <c r="A16" s="6" t="inlineStr">
        <is>
          <t>p bilateral (TDIST trunca los gl)</t>
        </is>
      </c>
      <c r="B16" s="9">
        <f>IFERROR(TDIST(ABS(B14),B15,2),"")</f>
        <v/>
      </c>
      <c r="C16" s="6" t="n"/>
      <c r="D16" s="6" t="n"/>
    </row>
    <row r="17">
      <c r="A17" s="6" t="inlineStr">
        <is>
          <t>d de Cohen</t>
        </is>
      </c>
      <c r="B17" s="9">
        <f>IFERROR(D9/SQRT(((B8-1)*B10^2+(C8-1)*C10^2)/(B8+C8-2)),"")</f>
        <v/>
      </c>
      <c r="C17" s="6" t="n"/>
      <c r="D17" s="6" t="n"/>
    </row>
    <row r="18">
      <c r="A18" s="6" t="inlineStr">
        <is>
          <t>La U de Mann-Whitney (no paramétrica) se calcula en resultados.html.</t>
        </is>
      </c>
      <c r="B18" s="6" t="n"/>
      <c r="C18" s="6" t="n"/>
      <c r="D18" s="6" t="n"/>
    </row>
    <row r="19">
      <c r="A19" s="6" t="n"/>
      <c r="B19" s="6" t="n"/>
      <c r="C19" s="6" t="n"/>
      <c r="D19" s="6" t="n"/>
    </row>
    <row r="20">
      <c r="A20" s="5" t="inlineStr">
        <is>
          <t>Ítem crítico: recuerdo del 17</t>
        </is>
      </c>
      <c r="B20" s="5" t="inlineStr">
        <is>
          <t>Experimental</t>
        </is>
      </c>
      <c r="C20" s="5" t="inlineStr">
        <is>
          <t>Control</t>
        </is>
      </c>
      <c r="D20" s="5" t="inlineStr"/>
    </row>
    <row r="21">
      <c r="A21" s="6" t="inlineStr">
        <is>
          <t>Aciertos (n)</t>
        </is>
      </c>
      <c r="B21" s="6">
        <f>SUMPRODUCT((Respuestas!$C$2:$C$3000="experimental")*(Respuestas!$BG$2:$BG$3000&lt;&gt;"Sí")*(Respuestas!$BF$2:$BF$3000&lt;&gt;"No")*(Respuestas!$J$2:$J$3000=0)*(((Respuestas!$B$2:$B$3000=$B$4)+($B$4=""))&gt;0)*Respuestas!$AV$2:$AV$3000)</f>
        <v/>
      </c>
      <c r="C21" s="6">
        <f>SUMPRODUCT((Respuestas!$C$2:$C$3000="control")*(Respuestas!$BG$2:$BG$3000&lt;&gt;"Sí")*(Respuestas!$BF$2:$BF$3000&lt;&gt;"No")*(Respuestas!$J$2:$J$3000=0)*(((Respuestas!$B$2:$B$3000=$B$4)+($B$4=""))&gt;0)*Respuestas!$AV$2:$AV$3000)</f>
        <v/>
      </c>
      <c r="D21" s="6" t="n"/>
    </row>
    <row r="22">
      <c r="A22" s="6" t="inlineStr">
        <is>
          <t>% de aciertos</t>
        </is>
      </c>
      <c r="B22" s="8">
        <f>IFERROR(B21/B8,"")</f>
        <v/>
      </c>
      <c r="C22" s="8">
        <f>IFERROR(C21/C8,"")</f>
        <v/>
      </c>
      <c r="D22" s="6" t="n"/>
    </row>
    <row r="23">
      <c r="A23" s="6" t="inlineStr">
        <is>
          <t>χ² (1 gl, corrección de Yates)</t>
        </is>
      </c>
      <c r="B23" s="7">
        <f>IFERROR((B8+C8)*MAX(0,ABS(B21*(C8-C21)-(B8-B21)*C21)-(B8+C8)/2)^2/((B21+(B8-B21))*(C21+(C8-C21))*(B21+C21)*((B8-B21)+(C8-C21))),"")</f>
        <v/>
      </c>
      <c r="C23" s="6" t="n"/>
      <c r="D23" s="6" t="n"/>
    </row>
    <row r="24">
      <c r="A24" s="6" t="inlineStr">
        <is>
          <t>p</t>
        </is>
      </c>
      <c r="B24" s="9">
        <f>IFERROR(CHIDIST(B23,1),"")</f>
        <v/>
      </c>
      <c r="C24" s="6" t="n"/>
      <c r="D24" s="6" t="n"/>
    </row>
    <row r="25">
      <c r="A25" s="6" t="n"/>
      <c r="B25" s="6" t="n"/>
      <c r="C25" s="6" t="n"/>
      <c r="D25" s="6" t="n"/>
    </row>
    <row r="26">
      <c r="A26" s="5" t="inlineStr">
        <is>
          <t>Ítem crítico: reconocimiento (10/13/1/17)</t>
        </is>
      </c>
      <c r="B26" s="5" t="inlineStr">
        <is>
          <t>Experimental</t>
        </is>
      </c>
      <c r="C26" s="5" t="inlineStr">
        <is>
          <t>Control</t>
        </is>
      </c>
      <c r="D26" s="5" t="inlineStr"/>
    </row>
    <row r="27">
      <c r="A27" s="6" t="inlineStr">
        <is>
          <t>Aciertos (n)</t>
        </is>
      </c>
      <c r="B27" s="6">
        <f>SUMPRODUCT((Respuestas!$C$2:$C$3000="experimental")*(Respuestas!$BG$2:$BG$3000&lt;&gt;"Sí")*(Respuestas!$BF$2:$BF$3000&lt;&gt;"No")*(Respuestas!$J$2:$J$3000=0)*(((Respuestas!$B$2:$B$3000=$B$4)+($B$4=""))&gt;0)*Respuestas!$AY$2:$AY$3000)</f>
        <v/>
      </c>
      <c r="C27" s="6">
        <f>SUMPRODUCT((Respuestas!$C$2:$C$3000="control")*(Respuestas!$BG$2:$BG$3000&lt;&gt;"Sí")*(Respuestas!$BF$2:$BF$3000&lt;&gt;"No")*(Respuestas!$J$2:$J$3000=0)*(((Respuestas!$B$2:$B$3000=$B$4)+($B$4=""))&gt;0)*Respuestas!$AY$2:$AY$3000)</f>
        <v/>
      </c>
      <c r="D27" s="6" t="n"/>
    </row>
    <row r="28">
      <c r="A28" s="6" t="inlineStr">
        <is>
          <t>% de aciertos</t>
        </is>
      </c>
      <c r="B28" s="8">
        <f>IFERROR(B27/B8,"")</f>
        <v/>
      </c>
      <c r="C28" s="8">
        <f>IFERROR(C27/C8,"")</f>
        <v/>
      </c>
      <c r="D28" s="6" t="inlineStr">
        <is>
          <t>azar = 25 %</t>
        </is>
      </c>
    </row>
    <row r="29">
      <c r="A29" s="6" t="inlineStr">
        <is>
          <t>χ² (1 gl, corrección de Yates)</t>
        </is>
      </c>
      <c r="B29" s="7">
        <f>IFERROR((B8+C8)*MAX(0,ABS(B27*(C8-C27)-(B8-B27)*C27)-(B8+C8)/2)^2/((B27+(B8-B27))*(C27+(C8-C27))*(B27+C27)*((B8-B27)+(C8-C27))),"")</f>
        <v/>
      </c>
      <c r="C29" s="6" t="n"/>
      <c r="D29" s="6" t="n"/>
    </row>
    <row r="30">
      <c r="A30" s="6" t="inlineStr">
        <is>
          <t>p</t>
        </is>
      </c>
      <c r="B30" s="9">
        <f>IFERROR(CHIDIST(B29,1),"")</f>
        <v/>
      </c>
      <c r="C30" s="6" t="n"/>
      <c r="D30" s="6" t="n"/>
    </row>
    <row r="31">
      <c r="A31" s="6" t="n"/>
      <c r="B31" s="6" t="n"/>
      <c r="C31" s="6" t="n"/>
      <c r="D31" s="6" t="n"/>
    </row>
    <row r="32">
      <c r="A32" s="5" t="inlineStr">
        <is>
          <t>Control de la manipulación: malestar (1-5)</t>
        </is>
      </c>
      <c r="B32" s="5" t="inlineStr">
        <is>
          <t>Experimental</t>
        </is>
      </c>
      <c r="C32" s="5" t="inlineStr">
        <is>
          <t>Control</t>
        </is>
      </c>
      <c r="D32" s="5" t="inlineStr"/>
    </row>
    <row r="33">
      <c r="A33" s="6" t="inlineStr">
        <is>
          <t>Media</t>
        </is>
      </c>
      <c r="B33" s="7">
        <f>IFERROR(SUMPRODUCT((Respuestas!$C$2:$C$3000="experimental")*(Respuestas!$BG$2:$BG$3000&lt;&gt;"Sí")*(Respuestas!$BF$2:$BF$3000&lt;&gt;"No")*(Respuestas!$J$2:$J$3000=0)*(((Respuestas!$B$2:$B$3000=$B$4)+($B$4=""))&gt;0)*Respuestas!$BE$2:$BE$3000)/B8,"")</f>
        <v/>
      </c>
      <c r="C33" s="7">
        <f>IFERROR(SUMPRODUCT((Respuestas!$C$2:$C$3000="control")*(Respuestas!$BG$2:$BG$3000&lt;&gt;"Sí")*(Respuestas!$BF$2:$BF$3000&lt;&gt;"No")*(Respuestas!$J$2:$J$3000=0)*(((Respuestas!$B$2:$B$3000=$B$4)+($B$4=""))&gt;0)*Respuestas!$BE$2:$BE$3000)/C8,"")</f>
        <v/>
      </c>
      <c r="D33" s="6" t="n"/>
    </row>
    <row r="34">
      <c r="A34" s="6" t="inlineStr">
        <is>
          <t>Desviación típica</t>
        </is>
      </c>
      <c r="B34" s="7">
        <f>IFERROR(SQRT(SUMPRODUCT((Respuestas!$C$2:$C$3000="experimental")*(Respuestas!$BG$2:$BG$3000&lt;&gt;"Sí")*(Respuestas!$BF$2:$BF$3000&lt;&gt;"No")*(Respuestas!$J$2:$J$3000=0)*(((Respuestas!$B$2:$B$3000=$B$4)+($B$4=""))&gt;0)*(Respuestas!$BE$2:$BE$3000-B33)^2)/(B8-1)),"")</f>
        <v/>
      </c>
      <c r="C34" s="7">
        <f>IFERROR(SQRT(SUMPRODUCT((Respuestas!$C$2:$C$3000="control")*(Respuestas!$BG$2:$BG$3000&lt;&gt;"Sí")*(Respuestas!$BF$2:$BF$3000&lt;&gt;"No")*(Respuestas!$J$2:$J$3000=0)*(((Respuestas!$B$2:$B$3000=$B$4)+($B$4=""))&gt;0)*(Respuestas!$BE$2:$BE$3000-C33)^2)/(C8-1)),"")</f>
        <v/>
      </c>
      <c r="D34" s="6" t="n"/>
    </row>
    <row r="35">
      <c r="A35" s="6" t="inlineStr">
        <is>
          <t>t de Welch</t>
        </is>
      </c>
      <c r="B35" s="7">
        <f>IFERROR((B33-C33)/SQRT(B34^2/B8+C34^2/C8),"")</f>
        <v/>
      </c>
      <c r="C35" s="6" t="n"/>
      <c r="D35" s="6" t="n"/>
    </row>
    <row r="36">
      <c r="A36" s="6" t="inlineStr">
        <is>
          <t>p bilateral</t>
        </is>
      </c>
      <c r="B36" s="9">
        <f>IFERROR(TDIST(ABS(B35),(B34^2/B8+C34^2/C8)^2/((B34^2/B8)^2/(B8-1)+(C34^2/C8)^2/(C8-1)),2),"")</f>
        <v/>
      </c>
      <c r="C36" s="6" t="n"/>
      <c r="D36" s="6" t="n"/>
    </row>
    <row r="38">
      <c r="A38" s="4" t="inlineStr">
        <is>
          <t>Referencia original (Exp. 1): recuerdo del 17 = 4,3 % (violento) vs. 27,9 % (no violento); χ²(1) = 21,72.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I1"/>
  <sheetViews>
    <sheetView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" customWidth="1" min="1" max="1"/>
    <col width="10" customWidth="1" min="2" max="2"/>
    <col width="12" customWidth="1" min="3" max="3"/>
    <col width="13" customWidth="1" min="4" max="4"/>
    <col width="15" customWidth="1" min="5" max="5"/>
    <col width="12" customWidth="1" min="6" max="6"/>
    <col width="13" customWidth="1" min="7" max="7"/>
    <col width="9" customWidth="1" min="8" max="8"/>
    <col width="11" customWidth="1" min="9" max="9"/>
    <col width="18" customWidth="1" min="10" max="10"/>
    <col width="26" customWidth="1" min="11" max="11"/>
    <col width="18" customWidth="1" min="12" max="12"/>
    <col width="21" customWidth="1" min="13" max="13"/>
    <col width="18" customWidth="1" min="14" max="14"/>
    <col width="17" customWidth="1" min="15" max="15"/>
    <col width="21" customWidth="1" min="16" max="16"/>
    <col width="9" customWidth="1" min="17" max="17"/>
    <col width="9" customWidth="1" min="18" max="18"/>
    <col width="11" customWidth="1" min="19" max="19"/>
    <col width="9" customWidth="1" min="20" max="20"/>
    <col width="9" customWidth="1" min="21" max="21"/>
    <col width="11" customWidth="1" min="22" max="22"/>
    <col width="9" customWidth="1" min="23" max="23"/>
    <col width="9" customWidth="1" min="24" max="24"/>
    <col width="11" customWidth="1" min="25" max="25"/>
    <col width="9" customWidth="1" min="26" max="26"/>
    <col width="9" customWidth="1" min="27" max="27"/>
    <col width="11" customWidth="1" min="28" max="28"/>
    <col width="9" customWidth="1" min="29" max="29"/>
    <col width="9" customWidth="1" min="30" max="30"/>
    <col width="11" customWidth="1" min="31" max="31"/>
    <col width="9" customWidth="1" min="32" max="32"/>
    <col width="9" customWidth="1" min="33" max="33"/>
    <col width="11" customWidth="1" min="34" max="34"/>
    <col width="9" customWidth="1" min="35" max="35"/>
    <col width="9" customWidth="1" min="36" max="36"/>
    <col width="11" customWidth="1" min="37" max="37"/>
    <col width="9" customWidth="1" min="38" max="38"/>
    <col width="9" customWidth="1" min="39" max="39"/>
    <col width="11" customWidth="1" min="40" max="40"/>
    <col width="9" customWidth="1" min="41" max="41"/>
    <col width="9" customWidth="1" min="42" max="42"/>
    <col width="11" customWidth="1" min="43" max="43"/>
    <col width="9" customWidth="1" min="44" max="44"/>
    <col width="9" customWidth="1" min="45" max="45"/>
    <col width="11" customWidth="1" min="46" max="46"/>
    <col width="14" customWidth="1" min="47" max="47"/>
    <col width="17" customWidth="1" min="48" max="48"/>
    <col width="19" customWidth="1" min="49" max="49"/>
    <col width="20" customWidth="1" min="50" max="50"/>
    <col width="23" customWidth="1" min="51" max="51"/>
    <col width="25" customWidth="1" min="52" max="52"/>
    <col width="19" customWidth="1" min="53" max="53"/>
    <col width="18" customWidth="1" min="54" max="54"/>
    <col width="26" customWidth="1" min="55" max="55"/>
    <col width="10" customWidth="1" min="56" max="56"/>
    <col width="11" customWidth="1" min="57" max="57"/>
    <col width="14" customWidth="1" min="58" max="58"/>
    <col width="10" customWidth="1" min="59" max="59"/>
    <col width="9" customWidth="1" min="60" max="60"/>
    <col width="11" customWidth="1" min="61" max="61"/>
  </cols>
  <sheetData>
    <row r="1">
      <c r="A1" s="5" t="inlineStr">
        <is>
          <t>id</t>
        </is>
      </c>
      <c r="B1" s="5" t="inlineStr">
        <is>
          <t>cohorte</t>
        </is>
      </c>
      <c r="C1" s="5" t="inlineStr">
        <is>
          <t>condicion</t>
        </is>
      </c>
      <c r="D1" s="5" t="inlineStr">
        <is>
          <t>asignacion</t>
        </is>
      </c>
      <c r="E1" s="5" t="inlineStr">
        <is>
          <t>fecha_inicio</t>
        </is>
      </c>
      <c r="F1" s="5" t="inlineStr">
        <is>
          <t>fecha_fin</t>
        </is>
      </c>
      <c r="G1" s="5" t="inlineStr">
        <is>
          <t>duracion_s</t>
        </is>
      </c>
      <c r="H1" s="5" t="inlineStr">
        <is>
          <t>movil</t>
        </is>
      </c>
      <c r="I1" s="5" t="inlineStr">
        <is>
          <t>pantalla</t>
        </is>
      </c>
      <c r="J1" s="5" t="inlineStr">
        <is>
          <t>cambios_pestana</t>
        </is>
      </c>
      <c r="K1" s="5" t="inlineStr">
        <is>
          <t>salidas_pantalla_completa</t>
        </is>
      </c>
      <c r="L1" s="5" t="inlineStr">
        <is>
          <t>secuencia_vista</t>
        </is>
      </c>
      <c r="M1" s="5" t="inlineStr">
        <is>
          <t>tiempos_escenas_ms</t>
        </is>
      </c>
      <c r="N1" s="5" t="inlineStr">
        <is>
          <t>stroop_aciertos</t>
        </is>
      </c>
      <c r="O1" s="5" t="inlineStr">
        <is>
          <t>stroop_errores</t>
        </is>
      </c>
      <c r="P1" s="5" t="inlineStr">
        <is>
          <t>stroop_tr_medio_ms</t>
        </is>
      </c>
      <c r="Q1" s="5" t="inlineStr">
        <is>
          <t>p01</t>
        </is>
      </c>
      <c r="R1" s="5" t="inlineStr">
        <is>
          <t>p01_ok</t>
        </is>
      </c>
      <c r="S1" s="5" t="inlineStr">
        <is>
          <t>p01_conf</t>
        </is>
      </c>
      <c r="T1" s="5" t="inlineStr">
        <is>
          <t>p02</t>
        </is>
      </c>
      <c r="U1" s="5" t="inlineStr">
        <is>
          <t>p02_ok</t>
        </is>
      </c>
      <c r="V1" s="5" t="inlineStr">
        <is>
          <t>p02_conf</t>
        </is>
      </c>
      <c r="W1" s="5" t="inlineStr">
        <is>
          <t>p03</t>
        </is>
      </c>
      <c r="X1" s="5" t="inlineStr">
        <is>
          <t>p03_ok</t>
        </is>
      </c>
      <c r="Y1" s="5" t="inlineStr">
        <is>
          <t>p03_conf</t>
        </is>
      </c>
      <c r="Z1" s="5" t="inlineStr">
        <is>
          <t>p04</t>
        </is>
      </c>
      <c r="AA1" s="5" t="inlineStr">
        <is>
          <t>p04_ok</t>
        </is>
      </c>
      <c r="AB1" s="5" t="inlineStr">
        <is>
          <t>p04_conf</t>
        </is>
      </c>
      <c r="AC1" s="5" t="inlineStr">
        <is>
          <t>p05</t>
        </is>
      </c>
      <c r="AD1" s="5" t="inlineStr">
        <is>
          <t>p05_ok</t>
        </is>
      </c>
      <c r="AE1" s="5" t="inlineStr">
        <is>
          <t>p05_conf</t>
        </is>
      </c>
      <c r="AF1" s="5" t="inlineStr">
        <is>
          <t>p06</t>
        </is>
      </c>
      <c r="AG1" s="5" t="inlineStr">
        <is>
          <t>p06_ok</t>
        </is>
      </c>
      <c r="AH1" s="5" t="inlineStr">
        <is>
          <t>p06_conf</t>
        </is>
      </c>
      <c r="AI1" s="5" t="inlineStr">
        <is>
          <t>p07</t>
        </is>
      </c>
      <c r="AJ1" s="5" t="inlineStr">
        <is>
          <t>p07_ok</t>
        </is>
      </c>
      <c r="AK1" s="5" t="inlineStr">
        <is>
          <t>p07_conf</t>
        </is>
      </c>
      <c r="AL1" s="5" t="inlineStr">
        <is>
          <t>p08</t>
        </is>
      </c>
      <c r="AM1" s="5" t="inlineStr">
        <is>
          <t>p08_ok</t>
        </is>
      </c>
      <c r="AN1" s="5" t="inlineStr">
        <is>
          <t>p08_conf</t>
        </is>
      </c>
      <c r="AO1" s="5" t="inlineStr">
        <is>
          <t>p09</t>
        </is>
      </c>
      <c r="AP1" s="5" t="inlineStr">
        <is>
          <t>p09_ok</t>
        </is>
      </c>
      <c r="AQ1" s="5" t="inlineStr">
        <is>
          <t>p09_conf</t>
        </is>
      </c>
      <c r="AR1" s="5" t="inlineStr">
        <is>
          <t>p10</t>
        </is>
      </c>
      <c r="AS1" s="5" t="inlineStr">
        <is>
          <t>p10_ok</t>
        </is>
      </c>
      <c r="AT1" s="5" t="inlineStr">
        <is>
          <t>p10_conf</t>
        </is>
      </c>
      <c r="AU1" s="5" t="inlineStr">
        <is>
          <t>c1_recuerdo</t>
        </is>
      </c>
      <c r="AV1" s="5" t="inlineStr">
        <is>
          <t>c1_recuerdo_ok</t>
        </is>
      </c>
      <c r="AW1" s="5" t="inlineStr">
        <is>
          <t>c1_recuerdo_conf</t>
        </is>
      </c>
      <c r="AX1" s="5" t="inlineStr">
        <is>
          <t>c2_reconocimiento</t>
        </is>
      </c>
      <c r="AY1" s="5" t="inlineStr">
        <is>
          <t>c2_reconocimiento_ok</t>
        </is>
      </c>
      <c r="AZ1" s="5" t="inlineStr">
        <is>
          <t>c2_reconocimiento_conf</t>
        </is>
      </c>
      <c r="BA1" s="5" t="inlineStr">
        <is>
          <t>aciertos_relleno</t>
        </is>
      </c>
      <c r="BB1" s="5" t="inlineStr">
        <is>
          <t>n_items_relleno</t>
        </is>
      </c>
      <c r="BC1" s="5" t="inlineStr">
        <is>
          <t>confianza_media_relleno</t>
        </is>
      </c>
      <c r="BD1" s="5" t="inlineStr">
        <is>
          <t>interes</t>
        </is>
      </c>
      <c r="BE1" s="5" t="inlineStr">
        <is>
          <t>malestar</t>
        </is>
      </c>
      <c r="BF1" s="5" t="inlineStr">
        <is>
          <t>condiciones</t>
        </is>
      </c>
      <c r="BG1" s="5" t="inlineStr">
        <is>
          <t>conocia</t>
        </is>
      </c>
      <c r="BH1" s="5" t="inlineStr">
        <is>
          <t>edad</t>
        </is>
      </c>
      <c r="BI1" s="5" t="inlineStr">
        <is>
          <t>recibido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8" customWidth="1" min="1" max="1"/>
    <col width="70" customWidth="1" min="2" max="2"/>
    <col width="32" customWidth="1" min="3" max="3"/>
    <col width="12" customWidth="1" min="4" max="4"/>
    <col width="38" customWidth="1" min="5" max="5"/>
  </cols>
  <sheetData>
    <row r="1">
      <c r="A1" s="5" t="inlineStr">
        <is>
          <t>Ítem</t>
        </is>
      </c>
      <c r="B1" s="5" t="inlineStr">
        <is>
          <t>Pregunta</t>
        </is>
      </c>
      <c r="C1" s="5" t="inlineStr">
        <is>
          <t>Respuesta correcta</t>
        </is>
      </c>
      <c r="D1" s="5" t="inlineStr">
        <is>
          <t>Tipo</t>
        </is>
      </c>
      <c r="E1" s="5" t="inlineStr">
        <is>
          <t>Dónde se ve</t>
        </is>
      </c>
    </row>
    <row r="2">
      <c r="A2" s="10" t="inlineStr">
        <is>
          <t>p01</t>
        </is>
      </c>
      <c r="B2" s="10" t="inlineStr">
        <is>
          <t>¿Cuántas personas aparecían en la primera escena?</t>
        </is>
      </c>
      <c r="C2" s="10" t="inlineStr">
        <is>
          <t>2</t>
        </is>
      </c>
      <c r="D2" s="10" t="inlineStr">
        <is>
          <t>relleno</t>
        </is>
      </c>
      <c r="E2" s="10" t="inlineStr">
        <is>
          <t>todas (máx. 2 personas)</t>
        </is>
      </c>
    </row>
    <row r="3">
      <c r="A3" s="10" t="inlineStr">
        <is>
          <t>p02</t>
        </is>
      </c>
      <c r="B3" s="10" t="inlineStr">
        <is>
          <t>¿De qué color era la chaqueta del hombre de pelo rizado?</t>
        </is>
      </c>
      <c r="C3" s="10" t="inlineStr">
        <is>
          <t>Beige</t>
        </is>
      </c>
      <c r="D3" s="10" t="inlineStr">
        <is>
          <t>relleno</t>
        </is>
      </c>
      <c r="E3" s="10" t="inlineStr">
        <is>
          <t>común + ambos finales</t>
        </is>
      </c>
    </row>
    <row r="4">
      <c r="A4" s="10" t="inlineStr">
        <is>
          <t>p03</t>
        </is>
      </c>
      <c r="B4" s="10" t="inlineStr">
        <is>
          <t>¿Qué prenda llevaba en la parte de arriba el hombre más joven?</t>
        </is>
      </c>
      <c r="C4" s="10" t="inlineStr">
        <is>
          <t>Una camiseta sin mangas</t>
        </is>
      </c>
      <c r="D4" s="10" t="inlineStr">
        <is>
          <t>relleno</t>
        </is>
      </c>
      <c r="E4" s="10" t="inlineStr">
        <is>
          <t>común + 1.ª escena de ambos finales</t>
        </is>
      </c>
    </row>
    <row r="5">
      <c r="A5" s="10" t="inlineStr">
        <is>
          <t>p04</t>
        </is>
      </c>
      <c r="B5" s="10" t="inlineStr">
        <is>
          <t>¿De qué color eran los calcetines del hombre más joven?</t>
        </is>
      </c>
      <c r="C5" s="10" t="inlineStr">
        <is>
          <t>Blancos</t>
        </is>
      </c>
      <c r="D5" s="10" t="inlineStr">
        <is>
          <t>relleno</t>
        </is>
      </c>
      <c r="E5" s="10" t="inlineStr">
        <is>
          <t>común + 1.ª escena de ambos finales</t>
        </is>
      </c>
    </row>
    <row r="6">
      <c r="A6" s="10" t="inlineStr">
        <is>
          <t>p05</t>
        </is>
      </c>
      <c r="B6" s="10" t="inlineStr">
        <is>
          <t>¿Qué calzado llevaba el hombre de pelo rizado?</t>
        </is>
      </c>
      <c r="C6" s="10" t="inlineStr">
        <is>
          <t>Zapatos marrones</t>
        </is>
      </c>
      <c r="D6" s="10" t="inlineStr">
        <is>
          <t>relleno</t>
        </is>
      </c>
      <c r="E6" s="10" t="inlineStr">
        <is>
          <t>común + ambos finales</t>
        </is>
      </c>
    </row>
    <row r="7">
      <c r="A7" s="10" t="inlineStr">
        <is>
          <t>p06</t>
        </is>
      </c>
      <c r="B7" s="10" t="inlineStr">
        <is>
          <t>¿De qué color era el coche aparcado más alejado de la cámara (al fondo)?</t>
        </is>
      </c>
      <c r="C7" s="10" t="inlineStr">
        <is>
          <t>Blanco</t>
        </is>
      </c>
      <c r="D7" s="10" t="inlineStr">
        <is>
          <t>relleno</t>
        </is>
      </c>
      <c r="E7" s="10" t="inlineStr">
        <is>
          <t>fondo (todas)</t>
        </is>
      </c>
    </row>
    <row r="8">
      <c r="A8" s="10" t="inlineStr">
        <is>
          <t>p07</t>
        </is>
      </c>
      <c r="B8" s="10" t="inlineStr">
        <is>
          <t>¿Qué tipo de establecimiento había en el lado derecho de la calle?</t>
        </is>
      </c>
      <c r="C8" s="10" t="inlineStr">
        <is>
          <t>Una tienda de cerámica / decoración</t>
        </is>
      </c>
      <c r="D8" s="10" t="inlineStr">
        <is>
          <t>relleno</t>
        </is>
      </c>
      <c r="E8" s="10" t="inlineStr">
        <is>
          <t>fondo (todas)</t>
        </is>
      </c>
    </row>
    <row r="9">
      <c r="A9" s="10" t="inlineStr">
        <is>
          <t>p08</t>
        </is>
      </c>
      <c r="B9" s="10" t="inlineStr">
        <is>
          <t>¿Había un árbol en la acera?</t>
        </is>
      </c>
      <c r="C9" s="10" t="inlineStr">
        <is>
          <t>Sí</t>
        </is>
      </c>
      <c r="D9" s="10" t="inlineStr">
        <is>
          <t>relleno</t>
        </is>
      </c>
      <c r="E9" s="10" t="inlineStr">
        <is>
          <t>fondo (todas)</t>
        </is>
      </c>
    </row>
    <row r="10">
      <c r="A10" s="10" t="inlineStr">
        <is>
          <t>p09</t>
        </is>
      </c>
      <c r="B10" s="10" t="inlineStr">
        <is>
          <t>¿Se veía alguna planta en el escaparate?</t>
        </is>
      </c>
      <c r="C10" s="10" t="inlineStr">
        <is>
          <t>Sí</t>
        </is>
      </c>
      <c r="D10" s="10" t="inlineStr">
        <is>
          <t>relleno</t>
        </is>
      </c>
      <c r="E10" s="10" t="inlineStr">
        <is>
          <t>fondo (todas)</t>
        </is>
      </c>
    </row>
    <row r="11">
      <c r="A11" s="10" t="inlineStr">
        <is>
          <t>p10</t>
        </is>
      </c>
      <c r="B11" s="10" t="inlineStr">
        <is>
          <t>¿Aparecían otros peatones en la calle, además de los protagonistas?</t>
        </is>
      </c>
      <c r="C11" s="10" t="inlineStr">
        <is>
          <t>No</t>
        </is>
      </c>
      <c r="D11" s="10" t="inlineStr">
        <is>
          <t>relleno</t>
        </is>
      </c>
      <c r="E11" s="10" t="inlineStr">
        <is>
          <t>todas</t>
        </is>
      </c>
    </row>
    <row r="12">
      <c r="A12" s="10" t="inlineStr">
        <is>
          <t>c1_recuerdo</t>
        </is>
      </c>
      <c r="B12" s="10" t="inlineStr">
        <is>
          <t>¿Qué número llevaba en la camiseta uno de los hombres?</t>
        </is>
      </c>
      <c r="C12" s="10" t="inlineStr">
        <is>
          <t>17</t>
        </is>
      </c>
      <c r="D12" s="10" t="inlineStr">
        <is>
          <t>crítico</t>
        </is>
      </c>
      <c r="E12" s="10" t="inlineStr">
        <is>
          <t>solo escena común (0-4 s antes del incidente)</t>
        </is>
      </c>
    </row>
    <row r="13">
      <c r="A13" s="10" t="inlineStr">
        <is>
          <t>c2_reconocimiento</t>
        </is>
      </c>
      <c r="B13" s="10" t="inlineStr">
        <is>
          <t>De estas opciones, ¿cuál era el número de la camiseta?</t>
        </is>
      </c>
      <c r="C13" s="10" t="inlineStr">
        <is>
          <t>17</t>
        </is>
      </c>
      <c r="D13" s="10" t="inlineStr">
        <is>
          <t>crítico</t>
        </is>
      </c>
      <c r="E13" s="10" t="inlineStr">
        <is>
          <t>solo escena común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</cols>
  <sheetData>
    <row r="1">
      <c r="A1" s="11" t="inlineStr">
        <is>
          <t>fecha</t>
        </is>
      </c>
      <c r="B1" s="11" t="inlineStr">
        <is>
          <t>cohorte</t>
        </is>
      </c>
      <c r="C1" s="11" t="inlineStr">
        <is>
          <t>condicion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cols>
    <col width="28" customWidth="1" min="1" max="1"/>
    <col width="90" customWidth="1" min="2" max="2"/>
  </cols>
  <sheetData>
    <row r="1">
      <c r="A1" s="11" t="inlineStr">
        <is>
          <t>Pestaña / columna</t>
        </is>
      </c>
      <c r="B1" s="11" t="inlineStr">
        <is>
          <t>Descripción</t>
        </is>
      </c>
    </row>
    <row r="2">
      <c r="A2" s="12" t="inlineStr">
        <is>
          <t>Resumen</t>
        </is>
      </c>
      <c r="B2" s="13" t="inlineStr">
        <is>
          <t>Estadísticos en vivo calculados con fórmulas a partir de 'Respuestas'. Cambia B4 para filtrar una cohorte.</t>
        </is>
      </c>
    </row>
    <row r="3">
      <c r="A3" s="12" t="inlineStr">
        <is>
          <t>Respuestas</t>
        </is>
      </c>
      <c r="B3" s="13" t="inlineStr">
        <is>
          <t>Una fila por participante. La escribe la web (no editar las cabeceras de la fila 1).</t>
        </is>
      </c>
    </row>
    <row r="4">
      <c r="A4" s="12" t="inlineStr">
        <is>
          <t>Clave</t>
        </is>
      </c>
      <c r="B4" s="13" t="inlineStr">
        <is>
          <t>Respuestas correctas del cuestionario (solo informativa; la codificación la hace la web).</t>
        </is>
      </c>
    </row>
    <row r="5">
      <c r="A5" s="12" t="inlineStr">
        <is>
          <t>Asignaciones</t>
        </is>
      </c>
      <c r="B5" s="13" t="inlineStr">
        <is>
          <t>Registro de la aleatorización equilibrada (una fila por consentimiento aceptado).</t>
        </is>
      </c>
    </row>
    <row r="6">
      <c r="A6" s="12" t="inlineStr">
        <is>
          <t>condicion</t>
        </is>
      </c>
      <c r="B6" s="13" t="inlineStr">
        <is>
          <t>experimental (final impactante) / control (final neutro)</t>
        </is>
      </c>
    </row>
    <row r="7">
      <c r="A7" s="12" t="inlineStr">
        <is>
          <t>pXX / pXX_ok / pXX_conf</t>
        </is>
      </c>
      <c r="B7" s="13" t="inlineStr">
        <is>
          <t>respuesta bruta / 1 = acierto, 0 = error / seguridad 1-5</t>
        </is>
      </c>
    </row>
    <row r="8">
      <c r="A8" s="12" t="inlineStr">
        <is>
          <t>aciertos_relleno</t>
        </is>
      </c>
      <c r="B8" s="13" t="inlineStr">
        <is>
          <t>VD principal: suma de aciertos en los 10 ítems de relleno</t>
        </is>
      </c>
    </row>
    <row r="9">
      <c r="A9" s="12" t="inlineStr">
        <is>
          <t>c1_recuerdo_ok</t>
        </is>
      </c>
      <c r="B9" s="13" t="inlineStr">
        <is>
          <t>ítem crítico: recuerdo libre del número de la camiseta (17)</t>
        </is>
      </c>
    </row>
    <row r="10">
      <c r="A10" s="12" t="inlineStr">
        <is>
          <t>c2_reconocimiento_ok</t>
        </is>
      </c>
      <c r="B10" s="13" t="inlineStr">
        <is>
          <t>ítem crítico: reconocimiento entre 10, 13, 1 y 17</t>
        </is>
      </c>
    </row>
    <row r="11">
      <c r="A11" s="12" t="inlineStr">
        <is>
          <t>malestar</t>
        </is>
      </c>
      <c r="B11" s="13" t="inlineStr">
        <is>
          <t>control de la manipulación (1-5)</t>
        </is>
      </c>
    </row>
    <row r="12">
      <c r="A12" s="12" t="inlineStr">
        <is>
          <t>cambios_pestana, conocia, condiciones</t>
        </is>
      </c>
      <c r="B12" s="13" t="inlineStr">
        <is>
          <t>criterios de exclusión</t>
        </is>
      </c>
    </row>
    <row r="13">
      <c r="A13" s="12" t="inlineStr">
        <is>
          <t>stroop_*</t>
        </is>
      </c>
      <c r="B13" s="13" t="inlineStr">
        <is>
          <t>rendimiento en la tarea distractora</t>
        </is>
      </c>
    </row>
    <row r="14">
      <c r="A14" s="12" t="inlineStr">
        <is>
          <t>Apps Script</t>
        </is>
      </c>
      <c r="B14" s="13" t="inlineStr">
        <is>
          <t>Extensiones &gt; Apps Script: pegar apps-script/Code.gs e implementar como aplicación web (ver README).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2026-09-28T11:50:13Z</dcterms:created>
  <dcterms:modified xmlns:dcterms="http://purl.org/dc/terms/" xmlns:xsi="http://www.w3.org/2001/XMLSchema-instance" xsi:type="dcterms:W3CDTF">2026-09-28T11:50:13Z</dcterms:modified>
</cp:coreProperties>
</file>